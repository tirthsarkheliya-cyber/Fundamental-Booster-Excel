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<sst xmlns="http://schemas.openxmlformats.org/spreadsheetml/2006/main" count="51" uniqueCount="39">
  <si>
    <t>Employ Id</t>
  </si>
  <si>
    <t>Name</t>
  </si>
  <si>
    <t>Department</t>
  </si>
  <si>
    <t>Date of birth</t>
  </si>
  <si>
    <t>Date of joining</t>
  </si>
  <si>
    <t>Salery($)</t>
  </si>
  <si>
    <t>E1</t>
  </si>
  <si>
    <t>Sara</t>
  </si>
  <si>
    <t>Finance</t>
  </si>
  <si>
    <t>E2</t>
  </si>
  <si>
    <t>Foram</t>
  </si>
  <si>
    <t>E3</t>
  </si>
  <si>
    <t>Tirth</t>
  </si>
  <si>
    <t>E4</t>
  </si>
  <si>
    <t>Dhruvi</t>
  </si>
  <si>
    <t>IT</t>
  </si>
  <si>
    <t>E5</t>
  </si>
  <si>
    <t>Hemanshi</t>
  </si>
  <si>
    <t>HR</t>
  </si>
  <si>
    <t>E6</t>
  </si>
  <si>
    <t>Surbhi</t>
  </si>
  <si>
    <t>E7</t>
  </si>
  <si>
    <t>Granthi</t>
  </si>
  <si>
    <t>E8</t>
  </si>
  <si>
    <t>Devarsh</t>
  </si>
  <si>
    <t>E9</t>
  </si>
  <si>
    <t>Mishva</t>
  </si>
  <si>
    <t>E10</t>
  </si>
  <si>
    <t>Aryan</t>
  </si>
  <si>
    <t>E11</t>
  </si>
  <si>
    <t>Riti</t>
  </si>
  <si>
    <t>E12</t>
  </si>
  <si>
    <t>Janvi</t>
  </si>
  <si>
    <t>E13</t>
  </si>
  <si>
    <t>Payal</t>
  </si>
  <si>
    <t>E14</t>
  </si>
  <si>
    <t>Manali</t>
  </si>
  <si>
    <t>E15</t>
  </si>
  <si>
    <t>Greena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</si>
</sst>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31213.0</v>
      </c>
      <c r="E2" s="3">
        <v>41152.0</v>
      </c>
      <c r="F2" s="2">
        <v>75000.0</v>
      </c>
      <c r="G2" s="4" t="str">
        <f>left(B2,find("Sara",B2) - 1)</f>
        <v/>
      </c>
    </row>
    <row r="3">
      <c r="A3" s="2" t="s">
        <v>9</v>
      </c>
      <c r="B3" s="2" t="s">
        <v>10</v>
      </c>
      <c r="C3" s="2" t="s">
        <v>8</v>
      </c>
      <c r="D3" s="3">
        <v>28696.0</v>
      </c>
      <c r="E3" s="3">
        <v>41518.0</v>
      </c>
      <c r="F3" s="2">
        <v>92000.0</v>
      </c>
      <c r="G3" s="4">
        <f t="array" ref="G3">_xlfn.XLOOKUP("E2", A2:A4,F2:F4)</f>
        <v>92000</v>
      </c>
    </row>
    <row r="4">
      <c r="A4" s="2" t="s">
        <v>11</v>
      </c>
      <c r="B4" s="2" t="s">
        <v>12</v>
      </c>
      <c r="C4" s="2" t="s">
        <v>8</v>
      </c>
      <c r="D4" s="3">
        <v>32225.0</v>
      </c>
      <c r="E4" s="3">
        <v>41184.0</v>
      </c>
      <c r="F4" s="2">
        <v>60000.0</v>
      </c>
    </row>
    <row r="5">
      <c r="A5" s="2" t="s">
        <v>13</v>
      </c>
      <c r="B5" s="2" t="s">
        <v>14</v>
      </c>
      <c r="C5" s="2" t="s">
        <v>15</v>
      </c>
      <c r="D5" s="3">
        <v>31127.0</v>
      </c>
      <c r="E5" s="3">
        <v>42616.0</v>
      </c>
      <c r="F5" s="2">
        <v>63000.0</v>
      </c>
    </row>
    <row r="6">
      <c r="A6" s="2" t="s">
        <v>16</v>
      </c>
      <c r="B6" s="2" t="s">
        <v>17</v>
      </c>
      <c r="C6" s="2" t="s">
        <v>18</v>
      </c>
      <c r="D6" s="3">
        <v>27590.0</v>
      </c>
      <c r="E6" s="3">
        <v>40394.0</v>
      </c>
      <c r="F6" s="2">
        <v>83500.0</v>
      </c>
    </row>
    <row r="7">
      <c r="A7" s="2" t="s">
        <v>19</v>
      </c>
      <c r="B7" s="2" t="s">
        <v>20</v>
      </c>
      <c r="C7" s="2" t="s">
        <v>15</v>
      </c>
      <c r="D7" s="3">
        <v>29446.0</v>
      </c>
      <c r="E7" s="3">
        <v>46319.0</v>
      </c>
      <c r="F7" s="2">
        <v>89000.0</v>
      </c>
    </row>
    <row r="8">
      <c r="A8" s="2" t="s">
        <v>21</v>
      </c>
      <c r="B8" s="2" t="s">
        <v>22</v>
      </c>
      <c r="C8" s="2" t="s">
        <v>8</v>
      </c>
      <c r="D8" s="3">
        <v>25827.0</v>
      </c>
      <c r="E8" s="3">
        <v>42253.0</v>
      </c>
      <c r="F8" s="2">
        <v>45000.0</v>
      </c>
    </row>
    <row r="9">
      <c r="A9" s="2" t="s">
        <v>23</v>
      </c>
      <c r="B9" s="2" t="s">
        <v>24</v>
      </c>
      <c r="C9" s="2" t="s">
        <v>15</v>
      </c>
      <c r="D9" s="3">
        <v>27841.0</v>
      </c>
      <c r="E9" s="3">
        <v>41013.0</v>
      </c>
      <c r="F9" s="2">
        <v>96000.0</v>
      </c>
      <c r="G9" s="4">
        <f>DATEDIF(E2, TODAY(), "Y")</f>
        <v>14</v>
      </c>
    </row>
    <row r="10">
      <c r="A10" s="2" t="s">
        <v>25</v>
      </c>
      <c r="B10" s="2" t="s">
        <v>26</v>
      </c>
      <c r="C10" s="2" t="s">
        <v>18</v>
      </c>
      <c r="D10" s="3">
        <v>30764.0</v>
      </c>
      <c r="E10" s="3">
        <v>43351.0</v>
      </c>
      <c r="F10" s="2">
        <v>23000.0</v>
      </c>
    </row>
    <row r="11">
      <c r="A11" s="2" t="s">
        <v>27</v>
      </c>
      <c r="B11" s="2" t="s">
        <v>28</v>
      </c>
      <c r="C11" s="2" t="s">
        <v>18</v>
      </c>
      <c r="D11" s="3">
        <v>32247.0</v>
      </c>
      <c r="E11" s="3">
        <v>41161.0</v>
      </c>
      <c r="F11" s="2">
        <v>56000.0</v>
      </c>
    </row>
    <row r="12">
      <c r="A12" s="2" t="s">
        <v>29</v>
      </c>
      <c r="B12" s="2" t="s">
        <v>30</v>
      </c>
      <c r="C12" s="2" t="s">
        <v>15</v>
      </c>
      <c r="D12" s="3">
        <v>27811.0</v>
      </c>
      <c r="E12" s="3">
        <v>43840.0</v>
      </c>
      <c r="F12" s="2">
        <v>86000.0</v>
      </c>
    </row>
    <row r="13">
      <c r="A13" s="2" t="s">
        <v>31</v>
      </c>
      <c r="B13" s="2" t="s">
        <v>32</v>
      </c>
      <c r="C13" s="2" t="s">
        <v>8</v>
      </c>
      <c r="D13" s="3">
        <v>34837.0</v>
      </c>
      <c r="E13" s="3">
        <v>41163.0</v>
      </c>
      <c r="F13" s="2">
        <v>30000.0</v>
      </c>
    </row>
    <row r="14">
      <c r="A14" s="2" t="s">
        <v>33</v>
      </c>
      <c r="B14" s="2" t="s">
        <v>34</v>
      </c>
      <c r="C14" s="2" t="s">
        <v>15</v>
      </c>
      <c r="D14" s="3">
        <v>36057.0</v>
      </c>
      <c r="E14" s="3">
        <v>43597.0</v>
      </c>
      <c r="F14" s="2">
        <v>58000.0</v>
      </c>
    </row>
    <row r="15">
      <c r="A15" s="2" t="s">
        <v>35</v>
      </c>
      <c r="B15" s="2" t="s">
        <v>36</v>
      </c>
      <c r="C15" s="2" t="s">
        <v>15</v>
      </c>
      <c r="D15" s="3">
        <v>28682.0</v>
      </c>
      <c r="E15" s="3">
        <v>41195.0</v>
      </c>
      <c r="F15" s="2">
        <v>90000.0</v>
      </c>
    </row>
    <row r="16">
      <c r="A16" s="2" t="s">
        <v>37</v>
      </c>
      <c r="B16" s="2" t="s">
        <v>38</v>
      </c>
      <c r="C16" s="2" t="s">
        <v>8</v>
      </c>
      <c r="D16" s="3">
        <v>32950.0</v>
      </c>
      <c r="E16" s="3">
        <v>44756.0</v>
      </c>
      <c r="F16" s="2">
        <v>72000.0</v>
      </c>
    </row>
  </sheetData>
  <drawing r:id="rId1"/>
</worksheet>
</file>